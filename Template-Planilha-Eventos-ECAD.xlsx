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07e2cfd96b9bb54/projetos/digitalmind/ecad/01-Project-Docs/Deliverables/"/>
    </mc:Choice>
  </mc:AlternateContent>
  <xr:revisionPtr revIDLastSave="6" documentId="11_EB552C77941E7147852E6E1F4BB80816B0057334" xr6:coauthVersionLast="47" xr6:coauthVersionMax="47" xr10:uidLastSave="{A3EA1BDB-D154-4AE7-80B2-DF8CC07F91A1}"/>
  <bookViews>
    <workbookView xWindow="-110" yWindow="-110" windowWidth="19420" windowHeight="11620" xr2:uid="{00000000-000D-0000-FFFF-FFFF00000000}"/>
  </bookViews>
  <sheets>
    <sheet name="Eventos Capturados" sheetId="1" r:id="rId1"/>
    <sheet name="Evidências" sheetId="2" r:id="rId2"/>
    <sheet name="Resumo Executivo" sheetId="3" r:id="rId3"/>
  </sheets>
  <definedNames>
    <definedName name="_xlnm._FilterDatabase" localSheetId="0" hidden="1">'Eventos Capturados'!$A$1:$Y$9</definedName>
    <definedName name="_xlnm._FilterDatabase" localSheetId="1" hidden="1">Evidências!$A$1:$F$1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<sst xmlns="http://schemas.openxmlformats.org/spreadsheetml/2006/main" count="326" uniqueCount="204">
  <si>
    <t>ID_Evento</t>
  </si>
  <si>
    <t>Titulo_Evento</t>
  </si>
  <si>
    <t>Data_Realizacao</t>
  </si>
  <si>
    <t>Hora_Inicio</t>
  </si>
  <si>
    <t>Local_Evento</t>
  </si>
  <si>
    <t>Municipio</t>
  </si>
  <si>
    <t>UF</t>
  </si>
  <si>
    <t>Unidade_ECAD</t>
  </si>
  <si>
    <t>Promotor</t>
  </si>
  <si>
    <t>Contato_Promotor</t>
  </si>
  <si>
    <t>Interprete_Principal</t>
  </si>
  <si>
    <t>Interpretes_Outros</t>
  </si>
  <si>
    <t>Tipo_Musica</t>
  </si>
  <si>
    <t>Cobranca_Ingresso</t>
  </si>
  <si>
    <t>Valor_Ingresso</t>
  </si>
  <si>
    <t>Capacidade_Publico</t>
  </si>
  <si>
    <t>Qtd_Evidencias</t>
  </si>
  <si>
    <t>Ver_Evidencias</t>
  </si>
  <si>
    <t>Status_Evento</t>
  </si>
  <si>
    <t>Status_SGA</t>
  </si>
  <si>
    <t>Nivel_Completude</t>
  </si>
  <si>
    <t>Fonte_Primaria</t>
  </si>
  <si>
    <t>Data_Descoberta</t>
  </si>
  <si>
    <t>Data_Atualizacao</t>
  </si>
  <si>
    <t>Observacoes_IA</t>
  </si>
  <si>
    <t>EVT-2026-0417</t>
  </si>
  <si>
    <t>17ª Festa da Cultura Popular de Itaguaçu</t>
  </si>
  <si>
    <t>12/04/2026</t>
  </si>
  <si>
    <t>19:00</t>
  </si>
  <si>
    <t>Praça Augusto Ruschi</t>
  </si>
  <si>
    <t>Itaguaçu</t>
  </si>
  <si>
    <t>ES</t>
  </si>
  <si>
    <t>Unidade Vitória</t>
  </si>
  <si>
    <t>Prefeitura Municipal de Itaguaçu</t>
  </si>
  <si>
    <t>(27) 3724-1300</t>
  </si>
  <si>
    <t>Banda Forrozeiros do Sul</t>
  </si>
  <si>
    <t>Coral Municipal; DJ Marcos</t>
  </si>
  <si>
    <t>Mista</t>
  </si>
  <si>
    <t>Não (Gratuito)</t>
  </si>
  <si>
    <t>Agendado</t>
  </si>
  <si>
    <t>INÉDITO</t>
  </si>
  <si>
    <t>Alto</t>
  </si>
  <si>
    <t>Diário Oficial</t>
  </si>
  <si>
    <t>05/03/2026</t>
  </si>
  <si>
    <t>10/03/2026</t>
  </si>
  <si>
    <t>Contrato público encontrado no Diário Oficial da AMUNES com detalhamento completo de atrações e valores do contrato musical.</t>
  </si>
  <si>
    <t>EVT-2026-0523</t>
  </si>
  <si>
    <t>Show Sertanejo Raízes — 4ª Edição</t>
  </si>
  <si>
    <t>Centro de Eventos Vale Verde</t>
  </si>
  <si>
    <t>Mimoso do Sul</t>
  </si>
  <si>
    <t>Secretaria de Cultura e Turismo</t>
  </si>
  <si>
    <t>Lucas &amp; Rafael</t>
  </si>
  <si>
    <t>Ao Vivo</t>
  </si>
  <si>
    <t>Sim</t>
  </si>
  <si>
    <t>R$ 40,00</t>
  </si>
  <si>
    <t>Agregador Gov (AMUNES)</t>
  </si>
  <si>
    <t>12/03/2026</t>
  </si>
  <si>
    <t>15/03/2026</t>
  </si>
  <si>
    <t>Contrato escaneado (imagem) processado via IA Multimodal.</t>
  </si>
  <si>
    <t>EVT-2026-0198</t>
  </si>
  <si>
    <t>Festival Gastronômico e Musical de Venda Nova do Imigrante</t>
  </si>
  <si>
    <t>05/04/2026</t>
  </si>
  <si>
    <t>18:00</t>
  </si>
  <si>
    <t>Parque de Exposições Municipal</t>
  </si>
  <si>
    <t>Venda Nova do Imigrante</t>
  </si>
  <si>
    <t>Não Identificado</t>
  </si>
  <si>
    <t>Básico</t>
  </si>
  <si>
    <t>Portal Notícias</t>
  </si>
  <si>
    <t>14/03/2026</t>
  </si>
  <si>
    <t>Evento descoberto em portal de notícias. Intérpretes e dados de cobrança ainda não divulgados. Aguardando enriquecimento incremental.</t>
  </si>
  <si>
    <t>EVT-2026-0089</t>
  </si>
  <si>
    <t>Aniversário de Aracruz — Show Comemorativo</t>
  </si>
  <si>
    <t>19/04/2026</t>
  </si>
  <si>
    <t>20:00</t>
  </si>
  <si>
    <t>Praça São João Batista</t>
  </si>
  <si>
    <t>Aracruz</t>
  </si>
  <si>
    <t>Prefeitura Municipal de Aracruz</t>
  </si>
  <si>
    <t>(27) 3296-1111</t>
  </si>
  <si>
    <t>Thiaguinho</t>
  </si>
  <si>
    <t>Samba da Ladeira; Banda Aliados</t>
  </si>
  <si>
    <t>JÁ CADASTRADO</t>
  </si>
  <si>
    <t>Instagram</t>
  </si>
  <si>
    <t>01/03/2026</t>
  </si>
  <si>
    <t>Show de artista de grande porte (Thiaguinho). Evento já consta na base do SGA — filtrado pela API.</t>
  </si>
  <si>
    <t>EVT-2026-0612</t>
  </si>
  <si>
    <t>Baile Charme — Aniversário da Cidade</t>
  </si>
  <si>
    <t>10/05/2026</t>
  </si>
  <si>
    <t>22:00</t>
  </si>
  <si>
    <t>Quadra Esportiva Municipal</t>
  </si>
  <si>
    <t>Presidente Kennedy</t>
  </si>
  <si>
    <t>Secretaria de Esporte e Lazer</t>
  </si>
  <si>
    <t>DJ Ruan Black</t>
  </si>
  <si>
    <t>Mecânica</t>
  </si>
  <si>
    <t>Médio</t>
  </si>
  <si>
    <t>Evento de DJ (música mecânica). Pequeno município com alto potencial de ineditismo. Edital encontrado no Diário Oficial via AMUNES.</t>
  </si>
  <si>
    <t>EVT-2026-0733</t>
  </si>
  <si>
    <t>3º Festival de Bandas de Barra de São Francisco</t>
  </si>
  <si>
    <t>03/05/2026</t>
  </si>
  <si>
    <t>16:00</t>
  </si>
  <si>
    <t>Estádio Municipal Lourival Marão</t>
  </si>
  <si>
    <t>Barra de São Francisco</t>
  </si>
  <si>
    <t>Prefeitura Municipal / Sec. Cultura</t>
  </si>
  <si>
    <t>(27) 3756-2000</t>
  </si>
  <si>
    <t>Matheus Henrique &amp; Gabriel</t>
  </si>
  <si>
    <t>Banda Essência; Trio Raiz; Projeto Samba Vip</t>
  </si>
  <si>
    <t>R$ 25,00</t>
  </si>
  <si>
    <t>13/03/2026</t>
  </si>
  <si>
    <t>17/03/2026</t>
  </si>
  <si>
    <t>Evento do interior com múltiplas atrações ao vivo. Contrato escaneado lido via OCR com 94% de confiança. Excelente candidato para cobrança.</t>
  </si>
  <si>
    <t>EVT-2026-0301</t>
  </si>
  <si>
    <t>Carnaval Fora de Época — Muqui Folia 2026</t>
  </si>
  <si>
    <t>24/05/2026</t>
  </si>
  <si>
    <t>14:00</t>
  </si>
  <si>
    <t>Ruas do Centro Histórico</t>
  </si>
  <si>
    <t>Muqui</t>
  </si>
  <si>
    <t>Prefeitura Municipal de Muqui</t>
  </si>
  <si>
    <t>Bloco Os Mascarados</t>
  </si>
  <si>
    <t>Bloco do Morro; Bateria Explosão</t>
  </si>
  <si>
    <t>Facebook</t>
  </si>
  <si>
    <t>Carnaval fora de época em cidade histórica do interior. Não consta no SGA. Potencial alto de cobrança — evento público com prefeitura como organizadora.</t>
  </si>
  <si>
    <t>EVT-2026-0155</t>
  </si>
  <si>
    <t>Réveillon 2026 — Virada Musical em Guarapari</t>
  </si>
  <si>
    <t>31/12/2025</t>
  </si>
  <si>
    <t>Praia do Morro</t>
  </si>
  <si>
    <t>Guarapari</t>
  </si>
  <si>
    <t>Prefeitura Municipal de Guarapari</t>
  </si>
  <si>
    <t>(27) 3261-5500</t>
  </si>
  <si>
    <t>Claudia Leitte</t>
  </si>
  <si>
    <t>Léo Santana; Harmonia do Samba</t>
  </si>
  <si>
    <t>Realizado</t>
  </si>
  <si>
    <t>Portal Prefeitura</t>
  </si>
  <si>
    <t>15/12/2025</t>
  </si>
  <si>
    <t>02/01/2026</t>
  </si>
  <si>
    <t>Evento de grande porte (Réveillon). Já constava na base do SGA. Demonstra o filtro funcionando corretamente — este registro seria removido na versão filtrada.</t>
  </si>
  <si>
    <t>Seq</t>
  </si>
  <si>
    <t>Tipo_Evidencia</t>
  </si>
  <si>
    <t>URL_Fonte</t>
  </si>
  <si>
    <t>URL_Blob_Storage</t>
  </si>
  <si>
    <t>Data_Captura</t>
  </si>
  <si>
    <t>https://www.amunes.org.br/diarios/itaguacu/2026-03-05</t>
  </si>
  <si>
    <t>https://ecaddatalakeprod.blob.core.windows.net/captura-documentos/prefeitura_itaguacu_es/producao/docs_eventos/8f14e45fceea167a5a36dedd4bea2543.pdf</t>
  </si>
  <si>
    <t>https://www.instagram.com/p/ABC123xyz/</t>
  </si>
  <si>
    <t>https://ecaddatalakeprod.blob.core.windows.net/captura-documentos/prefeitura_itaguacu_es/producao/docs_eventos/a3f2b8c91d4e567f0123456789abcdef.png</t>
  </si>
  <si>
    <t>08/03/2026</t>
  </si>
  <si>
    <t>https://itaguacu.es.gov.br/noticias/festa-cultura-2026</t>
  </si>
  <si>
    <t>https://ecaddatalakeprod.blob.core.windows.net/captura-documentos/prefeitura_itaguacu_es/producao/docs_eventos/c4ca4238a0b923820dcc509a6f75849b.pdf</t>
  </si>
  <si>
    <t>Contrato</t>
  </si>
  <si>
    <t>https://www.amunes.org.br/diarios/mimoso/contrato-2026-0312</t>
  </si>
  <si>
    <t>https://ecaddatalakeprod.blob.core.windows.net/captura-documentos/prefeitura_mimoso_do_sul_es/producao/docs_eventos/e99a18c428cb38d5f260853678922e03.pdf</t>
  </si>
  <si>
    <t>https://www.facebook.com/events/987654321/</t>
  </si>
  <si>
    <t>https://ecaddatalakeprod.blob.core.windows.net/captura-documentos/prefeitura_mimoso_do_sul_es/producao/docs_eventos/d3d9446802a44259755d38e6d163e820.png</t>
  </si>
  <si>
    <t>https://www.aquinoticias.com/vni-festival-gastronomico-2026</t>
  </si>
  <si>
    <t>https://ecaddatalakeprod.blob.core.windows.net/captura-documentos/prefeitura_venda_nova_do_imigrante_es/producao/docs_eventos/6512bd43d9caa6e02c990b0a82652dca.pdf</t>
  </si>
  <si>
    <t>https://www.instagram.com/p/XYZ789abc/</t>
  </si>
  <si>
    <t>https://ecaddatalakeprod.blob.core.windows.net/captura-documentos/prefeitura_aracruz_es/producao/docs_eventos/c20ad4d76fe97759aa27a0c99bff6710.png</t>
  </si>
  <si>
    <t>https://www.amunes.org.br/diarios/aracruz/2026-02-28</t>
  </si>
  <si>
    <t>https://ecaddatalakeprod.blob.core.windows.net/captura-documentos/prefeitura_aracruz_es/producao/docs_eventos/c51ce410c124a10e0db5e4b97fc2af39.pdf</t>
  </si>
  <si>
    <t>28/02/2026</t>
  </si>
  <si>
    <t>https://www.amunes.org.br/diarios/pkennedy/2026-03-12</t>
  </si>
  <si>
    <t>https://ecaddatalakeprod.blob.core.windows.net/captura-documentos/prefeitura_presidente_kennedy_es/producao/docs_eventos/aab3238922bcc25a6f606eb525ffdc56.pdf</t>
  </si>
  <si>
    <t>https://www.amunes.org.br/diarios/bsf/contrato-festival-bandas</t>
  </si>
  <si>
    <t>https://ecaddatalakeprod.blob.core.windows.net/captura-documentos/prefeitura_barra_de_sao_francisco_es/producao/docs_eventos/9bf31c7ff062936a96d3c8bd1f8f2ff3.pdf</t>
  </si>
  <si>
    <t>https://www.instagram.com/p/DEF456ghi/</t>
  </si>
  <si>
    <t>https://ecaddatalakeprod.blob.core.windows.net/captura-documentos/prefeitura_barra_de_sao_francisco_es/producao/docs_eventos/45c48cce2e2d7fbdea1afc51c7c6ad26.png</t>
  </si>
  <si>
    <t>16/03/2026</t>
  </si>
  <si>
    <t>https://barradesaofrancisco.es.gov.br/festival-bandas-2026</t>
  </si>
  <si>
    <t>https://ecaddatalakeprod.blob.core.windows.net/captura-documentos/prefeitura_barra_de_sao_francisco_es/producao/docs_eventos/d3d9446802a44259755d38e6d163e820.pdf</t>
  </si>
  <si>
    <t>https://www.abordenoroeste.com.br/festival-bsf-2026</t>
  </si>
  <si>
    <t>https://ecaddatalakeprod.blob.core.windows.net/captura-documentos/prefeitura_barra_de_sao_francisco_es/producao/docs_eventos/6f4922f45568161a8cdf4ad2299f6d23.pdf</t>
  </si>
  <si>
    <t>https://www.facebook.com/events/112233445566/</t>
  </si>
  <si>
    <t>https://ecaddatalakeprod.blob.core.windows.net/captura-documentos/prefeitura_muqui_es/producao/docs_eventos/1679091c5a880faf6fb5e6087eb1b2dc.png</t>
  </si>
  <si>
    <t>https://www.folhadoes.com.br/muqui-folia-2026</t>
  </si>
  <si>
    <t>https://ecaddatalakeprod.blob.core.windows.net/captura-documentos/prefeitura_muqui_es/producao/docs_eventos/8e296a067a37563370ded05f5a3bf3ec.pdf</t>
  </si>
  <si>
    <t>https://guarapari.es.gov.br/reveillon-2026</t>
  </si>
  <si>
    <t>https://ecaddatalakeprod.blob.core.windows.net/captura-documentos/prefeitura_guarapari_es/producao/docs_eventos/b6d767d2f8ed5d21a44b0e5886680cb9.pdf</t>
  </si>
  <si>
    <t>https://www.instagram.com/p/GHI789jkl/</t>
  </si>
  <si>
    <t>https://ecaddatalakeprod.blob.core.windows.net/captura-documentos/prefeitura_guarapari_es/producao/docs_eventos/37693cfc748049e45d87b8c7d8b9aacd.png</t>
  </si>
  <si>
    <t>20/12/2025</t>
  </si>
  <si>
    <t>https://www.amunes.org.br/diarios/guarapari/2025-12-10</t>
  </si>
  <si>
    <t>https://ecaddatalakeprod.blob.core.windows.net/captura-documentos/prefeitura_guarapari_es/producao/docs_eventos/1ff1de774005f8da13f42943881c655f.pdf</t>
  </si>
  <si>
    <t>10/12/2025</t>
  </si>
  <si>
    <t>CAPTURA DE EVENTOS — RESUMO EXECUTIVO</t>
  </si>
  <si>
    <t>Gerado em: 18/03/2026 23:03 — Projeto Digital Mind x ECAD</t>
  </si>
  <si>
    <t>8</t>
  </si>
  <si>
    <t>6</t>
  </si>
  <si>
    <t>2</t>
  </si>
  <si>
    <t>75.0%</t>
  </si>
  <si>
    <t>Total Capturado</t>
  </si>
  <si>
    <t>Eventos INÉDITOS</t>
  </si>
  <si>
    <t>Já Cadastrados</t>
  </si>
  <si>
    <t>Taxa Ineditismo</t>
  </si>
  <si>
    <t>18</t>
  </si>
  <si>
    <t>Total de Evidências Coletadas</t>
  </si>
  <si>
    <t>Distribuição por Status SGA (Deduplicação)</t>
  </si>
  <si>
    <t>Status SGA</t>
  </si>
  <si>
    <t>Quantidade</t>
  </si>
  <si>
    <t>% do Total</t>
  </si>
  <si>
    <t>25.0%</t>
  </si>
  <si>
    <t>Distribuição por Nível de Completude</t>
  </si>
  <si>
    <t>Nível</t>
  </si>
  <si>
    <t>62.5%</t>
  </si>
  <si>
    <t>12.5%</t>
  </si>
  <si>
    <t>Distribuição por Tipo de Fonte</t>
  </si>
  <si>
    <t>Fonte Primária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</si>
</sst>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2E86C1"/>
      <name val="Calibri"/>
    </font>
    <font>
      <b/>
      <u/>
      <sz val="11"/>
      <color rgb="FF7B241C"/>
      <name val="Calibri"/>
    </font>
    <font>
      <b/>
      <sz val="11"/>
      <color rgb="FF1E8449"/>
      <name val="Calibri"/>
    </font>
    <font>
      <b/>
      <sz val="11"/>
      <color rgb="FF922B21"/>
      <name val="Calibri"/>
    </font>
    <font>
      <b/>
      <sz val="18"/>
      <color rgb="FF1B4F72"/>
      <name val="Calibri"/>
    </font>
    <font>
      <i/>
      <sz val="10"/>
      <color rgb="FF7F8C8D"/>
      <name val="Calibri"/>
    </font>
    <font>
      <b/>
      <sz val="24"/>
      <color rgb="FF1B4F72"/>
      <name val="Calibri"/>
    </font>
    <font>
      <sz val="11"/>
      <color rgb="FF566573"/>
      <name val="Calibri"/>
    </font>
    <font>
      <b/>
      <sz val="20"/>
      <color rgb="FF7B241C"/>
      <name val="Calibri"/>
    </font>
    <font>
      <b/>
      <sz val="14"/>
      <color rgb="FF1B4F72"/>
      <name val="Calibri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B241C"/>
        <bgColor rgb="FF7B241C"/>
      </patternFill>
    </fill>
    <fill>
      <patternFill patternType="solid">
        <fgColor rgb="FF1B4F72"/>
        <bgColor rgb="FF1B4F72"/>
      </patternFill>
    </fill>
    <fill>
      <patternFill patternType="solid">
        <fgColor rgb="FF117A65"/>
        <bgColor rgb="FF117A65"/>
      </patternFill>
    </fill>
    <fill>
      <patternFill patternType="solid">
        <fgColor rgb="FF4A235A"/>
        <bgColor rgb="FF4A235A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5" fillId="7" borderId="1" xfId="0" applyFont="1" applyFill="1" applyBorder="1"/>
    <xf numFmtId="14" fontId="0" fillId="0" borderId="1" xfId="0" applyNumberFormat="1" applyBorder="1" applyAlignment="1">
      <alignment vertical="top" wrapText="1"/>
    </xf>
    <xf numFmtId="20" fontId="0" fillId="0" borderId="1" xfId="0" applyNumberFormat="1" applyBorder="1" applyAlignment="1">
      <alignment vertical="top" wrapText="1"/>
    </xf>
    <xf numFmtId="0" fontId="12" fillId="0" borderId="1" xfId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1" fillId="0" borderId="0" xfId="0" applyFont="1"/>
    <xf numFmtId="0" fontId="6" fillId="0" borderId="0" xfId="0" applyFont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lhadoes.com.br/muqui-folia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Y9"/>
  <sheetViews>
    <sheetView tabSelected="1" zoomScale="80" zoomScaleNormal="80" workbookViewId="0">
      <pane ySplit="1" topLeftCell="A2" activePane="bottomLeft" state="frozen"/>
      <selection pane="bottomLeft" activeCell="R7" sqref="R7"/>
    </sheetView>
  </sheetViews>
  <sheetFormatPr defaultRowHeight="14.5" x14ac:dyDescent="0.35"/>
  <cols>
    <col min="1" max="1" width="18" customWidth="1"/>
    <col min="2" max="2" width="40" customWidth="1"/>
    <col min="3" max="3" width="16" customWidth="1"/>
    <col min="4" max="4" width="13" customWidth="1"/>
    <col min="5" max="5" width="28" customWidth="1"/>
    <col min="6" max="6" width="24" customWidth="1"/>
    <col min="7" max="7" width="6" customWidth="1"/>
    <col min="8" max="8" width="22" customWidth="1"/>
    <col min="9" max="9" width="32" customWidth="1"/>
    <col min="10" max="11" width="26" customWidth="1"/>
    <col min="12" max="12" width="36" customWidth="1"/>
    <col min="13" max="13" width="16" customWidth="1"/>
    <col min="14" max="14" width="18" customWidth="1"/>
    <col min="15" max="15" width="16" customWidth="1"/>
    <col min="16" max="16" width="18" customWidth="1"/>
    <col min="17" max="17" width="16" customWidth="1"/>
    <col min="18" max="18" width="22" customWidth="1"/>
    <col min="19" max="19" width="16" customWidth="1"/>
    <col min="20" max="21" width="18" customWidth="1"/>
    <col min="22" max="22" width="24" customWidth="1"/>
    <col min="23" max="24" width="16" customWidth="1"/>
    <col min="25" max="25" width="55" customWidth="1"/>
  </cols>
  <sheetData>
    <row r="1" spans="1:25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ht="45" customHeight="1" x14ac:dyDescent="0.3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5"/>
      <c r="P2" s="5">
        <v>3000</v>
      </c>
      <c r="Q2" s="5">
        <v>3</v>
      </c>
      <c r="R2" s="6" t="str">
        <f>HYPERLINK("#Evidências!A2", "Ver 3 evidência(s)")</f>
        <v>Ver 3 evidência(s)</v>
      </c>
      <c r="S2" s="5" t="s">
        <v>39</v>
      </c>
      <c r="T2" s="7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</row>
    <row r="3" spans="1:25" ht="45" customHeight="1" x14ac:dyDescent="0.35">
      <c r="A3" s="5" t="s">
        <v>46</v>
      </c>
      <c r="B3" s="5" t="s">
        <v>47</v>
      </c>
      <c r="C3" s="18">
        <v>46138</v>
      </c>
      <c r="D3" s="19">
        <v>0.875</v>
      </c>
      <c r="E3" s="5" t="s">
        <v>48</v>
      </c>
      <c r="F3" s="5" t="s">
        <v>49</v>
      </c>
      <c r="G3" s="5" t="s">
        <v>31</v>
      </c>
      <c r="H3" s="5" t="s">
        <v>32</v>
      </c>
      <c r="I3" s="5" t="s">
        <v>50</v>
      </c>
      <c r="J3" s="5"/>
      <c r="K3" s="5" t="s">
        <v>51</v>
      </c>
      <c r="L3" s="5"/>
      <c r="M3" s="5" t="s">
        <v>52</v>
      </c>
      <c r="N3" s="5" t="s">
        <v>53</v>
      </c>
      <c r="O3" s="5" t="s">
        <v>54</v>
      </c>
      <c r="P3" s="5">
        <v>1500</v>
      </c>
      <c r="Q3" s="5">
        <v>2</v>
      </c>
      <c r="R3" s="6" t="str">
        <f>HYPERLINK("#Evidências!A5", "Ver 2 evidência(s)")</f>
        <v>Ver 2 evidência(s)</v>
      </c>
      <c r="S3" s="5" t="s">
        <v>39</v>
      </c>
      <c r="T3" s="7" t="s">
        <v>40</v>
      </c>
      <c r="U3" s="5" t="s">
        <v>41</v>
      </c>
      <c r="V3" s="5" t="s">
        <v>55</v>
      </c>
      <c r="W3" s="5" t="s">
        <v>56</v>
      </c>
      <c r="X3" s="5" t="s">
        <v>57</v>
      </c>
      <c r="Y3" s="5" t="s">
        <v>58</v>
      </c>
    </row>
    <row r="4" spans="1:25" ht="45" customHeight="1" x14ac:dyDescent="0.35">
      <c r="A4" s="5" t="s">
        <v>59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31</v>
      </c>
      <c r="H4" s="5" t="s">
        <v>32</v>
      </c>
      <c r="I4" s="5"/>
      <c r="J4" s="5"/>
      <c r="K4" s="5"/>
      <c r="L4" s="5"/>
      <c r="M4" s="5" t="s">
        <v>65</v>
      </c>
      <c r="N4" s="5" t="s">
        <v>65</v>
      </c>
      <c r="O4" s="5"/>
      <c r="P4" s="5"/>
      <c r="Q4" s="5">
        <v>1</v>
      </c>
      <c r="R4" s="6" t="str">
        <f>HYPERLINK("#Evidências!A7", "Ver 1 evidência(s)")</f>
        <v>Ver 1 evidência(s)</v>
      </c>
      <c r="S4" s="5" t="s">
        <v>39</v>
      </c>
      <c r="T4" s="7" t="s">
        <v>40</v>
      </c>
      <c r="U4" s="5" t="s">
        <v>66</v>
      </c>
      <c r="V4" s="5" t="s">
        <v>67</v>
      </c>
      <c r="W4" s="5" t="s">
        <v>68</v>
      </c>
      <c r="X4" s="5" t="s">
        <v>68</v>
      </c>
      <c r="Y4" s="5" t="s">
        <v>69</v>
      </c>
    </row>
    <row r="5" spans="1:25" ht="45" customHeight="1" x14ac:dyDescent="0.35">
      <c r="A5" s="5" t="s">
        <v>70</v>
      </c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31</v>
      </c>
      <c r="H5" s="5" t="s">
        <v>32</v>
      </c>
      <c r="I5" s="5" t="s">
        <v>76</v>
      </c>
      <c r="J5" s="5" t="s">
        <v>77</v>
      </c>
      <c r="K5" s="5" t="s">
        <v>78</v>
      </c>
      <c r="L5" s="5" t="s">
        <v>79</v>
      </c>
      <c r="M5" s="5" t="s">
        <v>52</v>
      </c>
      <c r="N5" s="5" t="s">
        <v>38</v>
      </c>
      <c r="O5" s="5"/>
      <c r="P5" s="5">
        <v>8000</v>
      </c>
      <c r="Q5" s="5">
        <v>2</v>
      </c>
      <c r="R5" s="6" t="str">
        <f>HYPERLINK("#Evidências!A8", "Ver 2 evidência(s)")</f>
        <v>Ver 2 evidência(s)</v>
      </c>
      <c r="S5" s="5" t="s">
        <v>39</v>
      </c>
      <c r="T5" s="8" t="s">
        <v>80</v>
      </c>
      <c r="U5" s="5" t="s">
        <v>41</v>
      </c>
      <c r="V5" s="5" t="s">
        <v>81</v>
      </c>
      <c r="W5" s="5" t="s">
        <v>82</v>
      </c>
      <c r="X5" s="5" t="s">
        <v>44</v>
      </c>
      <c r="Y5" s="5" t="s">
        <v>83</v>
      </c>
    </row>
    <row r="6" spans="1:25" ht="45" customHeight="1" x14ac:dyDescent="0.35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31</v>
      </c>
      <c r="H6" s="5" t="s">
        <v>32</v>
      </c>
      <c r="I6" s="5" t="s">
        <v>90</v>
      </c>
      <c r="J6" s="5"/>
      <c r="K6" s="5"/>
      <c r="L6" s="5" t="s">
        <v>91</v>
      </c>
      <c r="M6" s="5" t="s">
        <v>92</v>
      </c>
      <c r="N6" s="5" t="s">
        <v>38</v>
      </c>
      <c r="O6" s="5"/>
      <c r="P6" s="5">
        <v>500</v>
      </c>
      <c r="Q6" s="5">
        <v>1</v>
      </c>
      <c r="R6" s="6" t="str">
        <f>HYPERLINK("#Evidências!A10", "Ver 1 evidência(s)")</f>
        <v>Ver 1 evidência(s)</v>
      </c>
      <c r="S6" s="5" t="s">
        <v>39</v>
      </c>
      <c r="T6" s="7" t="s">
        <v>40</v>
      </c>
      <c r="U6" s="5" t="s">
        <v>93</v>
      </c>
      <c r="V6" s="5" t="s">
        <v>42</v>
      </c>
      <c r="W6" s="5" t="s">
        <v>56</v>
      </c>
      <c r="X6" s="5" t="s">
        <v>56</v>
      </c>
      <c r="Y6" s="5" t="s">
        <v>94</v>
      </c>
    </row>
    <row r="7" spans="1:25" ht="45" customHeight="1" x14ac:dyDescent="0.35">
      <c r="A7" s="5" t="s">
        <v>95</v>
      </c>
      <c r="B7" s="5" t="s">
        <v>96</v>
      </c>
      <c r="C7" s="5" t="s">
        <v>97</v>
      </c>
      <c r="D7" s="5" t="s">
        <v>98</v>
      </c>
      <c r="E7" s="5" t="s">
        <v>99</v>
      </c>
      <c r="F7" s="5" t="s">
        <v>100</v>
      </c>
      <c r="G7" s="5" t="s">
        <v>31</v>
      </c>
      <c r="H7" s="5" t="s">
        <v>32</v>
      </c>
      <c r="I7" s="5" t="s">
        <v>101</v>
      </c>
      <c r="J7" s="5" t="s">
        <v>102</v>
      </c>
      <c r="K7" s="5" t="s">
        <v>103</v>
      </c>
      <c r="L7" s="5" t="s">
        <v>104</v>
      </c>
      <c r="M7" s="5" t="s">
        <v>52</v>
      </c>
      <c r="N7" s="5" t="s">
        <v>53</v>
      </c>
      <c r="O7" s="5" t="s">
        <v>105</v>
      </c>
      <c r="P7" s="5">
        <v>4000</v>
      </c>
      <c r="Q7" s="5">
        <v>4</v>
      </c>
      <c r="R7" s="6" t="str">
        <f>HYPERLINK("#Evidências!A11", "Ver 4 evidência(s)")</f>
        <v>Ver 4 evidência(s)</v>
      </c>
      <c r="S7" s="5" t="s">
        <v>39</v>
      </c>
      <c r="T7" s="7" t="s">
        <v>40</v>
      </c>
      <c r="U7" s="5" t="s">
        <v>41</v>
      </c>
      <c r="V7" s="5" t="s">
        <v>55</v>
      </c>
      <c r="W7" s="5" t="s">
        <v>106</v>
      </c>
      <c r="X7" s="5" t="s">
        <v>107</v>
      </c>
      <c r="Y7" s="5" t="s">
        <v>108</v>
      </c>
    </row>
    <row r="8" spans="1:25" ht="45" customHeight="1" x14ac:dyDescent="0.35">
      <c r="A8" s="5" t="s">
        <v>109</v>
      </c>
      <c r="B8" s="5" t="s">
        <v>110</v>
      </c>
      <c r="C8" s="5" t="s">
        <v>111</v>
      </c>
      <c r="D8" s="5" t="s">
        <v>112</v>
      </c>
      <c r="E8" s="5" t="s">
        <v>113</v>
      </c>
      <c r="F8" s="5" t="s">
        <v>114</v>
      </c>
      <c r="G8" s="5" t="s">
        <v>31</v>
      </c>
      <c r="H8" s="5" t="s">
        <v>32</v>
      </c>
      <c r="I8" s="5" t="s">
        <v>115</v>
      </c>
      <c r="J8" s="5"/>
      <c r="K8" s="5" t="s">
        <v>116</v>
      </c>
      <c r="L8" s="5" t="s">
        <v>117</v>
      </c>
      <c r="M8" s="5" t="s">
        <v>52</v>
      </c>
      <c r="N8" s="5" t="s">
        <v>38</v>
      </c>
      <c r="O8" s="5"/>
      <c r="P8" s="5">
        <v>5000</v>
      </c>
      <c r="Q8" s="5">
        <v>2</v>
      </c>
      <c r="R8" s="6" t="str">
        <f>HYPERLINK("#Evidências!A15", "Ver 2 evidência(s)")</f>
        <v>Ver 2 evidência(s)</v>
      </c>
      <c r="S8" s="5" t="s">
        <v>39</v>
      </c>
      <c r="T8" s="7" t="s">
        <v>40</v>
      </c>
      <c r="U8" s="5" t="s">
        <v>93</v>
      </c>
      <c r="V8" s="5" t="s">
        <v>118</v>
      </c>
      <c r="W8" s="5" t="s">
        <v>44</v>
      </c>
      <c r="X8" s="5" t="s">
        <v>56</v>
      </c>
      <c r="Y8" s="5" t="s">
        <v>119</v>
      </c>
    </row>
    <row r="9" spans="1:25" ht="45" customHeight="1" x14ac:dyDescent="0.35">
      <c r="A9" s="5" t="s">
        <v>120</v>
      </c>
      <c r="B9" s="5" t="s">
        <v>121</v>
      </c>
      <c r="C9" s="5" t="s">
        <v>122</v>
      </c>
      <c r="D9" s="5" t="s">
        <v>87</v>
      </c>
      <c r="E9" s="5" t="s">
        <v>123</v>
      </c>
      <c r="F9" s="5" t="s">
        <v>124</v>
      </c>
      <c r="G9" s="5" t="s">
        <v>31</v>
      </c>
      <c r="H9" s="5" t="s">
        <v>32</v>
      </c>
      <c r="I9" s="5" t="s">
        <v>125</v>
      </c>
      <c r="J9" s="5" t="s">
        <v>126</v>
      </c>
      <c r="K9" s="5" t="s">
        <v>127</v>
      </c>
      <c r="L9" s="5" t="s">
        <v>128</v>
      </c>
      <c r="M9" s="5" t="s">
        <v>52</v>
      </c>
      <c r="N9" s="5" t="s">
        <v>38</v>
      </c>
      <c r="O9" s="5"/>
      <c r="P9" s="5">
        <v>50000</v>
      </c>
      <c r="Q9" s="5">
        <v>3</v>
      </c>
      <c r="R9" s="6" t="str">
        <f>HYPERLINK("#Evidências!A17", "Ver 3 evidência(s)")</f>
        <v>Ver 3 evidência(s)</v>
      </c>
      <c r="S9" s="5" t="s">
        <v>129</v>
      </c>
      <c r="T9" s="8" t="s">
        <v>80</v>
      </c>
      <c r="U9" s="5" t="s">
        <v>41</v>
      </c>
      <c r="V9" s="5" t="s">
        <v>130</v>
      </c>
      <c r="W9" s="5" t="s">
        <v>131</v>
      </c>
      <c r="X9" s="5" t="s">
        <v>132</v>
      </c>
      <c r="Y9" s="5" t="s">
        <v>133</v>
      </c>
    </row>
  </sheetData>
  <autoFilter ref="A1:Y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241C"/>
  </sheetPr>
  <dimension ref="A1:F19"/>
  <sheetViews>
    <sheetView zoomScaleNormal="100" workbookViewId="0">
      <pane ySplit="1" topLeftCell="A6" activePane="bottomLeft" state="frozen"/>
      <selection pane="bottomLeft" activeCell="A11" sqref="A11:XFD14"/>
    </sheetView>
  </sheetViews>
  <sheetFormatPr defaultRowHeight="14.5" x14ac:dyDescent="0.35"/>
  <cols>
    <col min="1" max="1" width="18" customWidth="1"/>
    <col min="2" max="2" width="6" customWidth="1"/>
    <col min="3" max="3" width="20" customWidth="1"/>
    <col min="4" max="4" width="52" customWidth="1"/>
    <col min="5" max="5" width="72" customWidth="1"/>
    <col min="6" max="6" width="16" customWidth="1"/>
  </cols>
  <sheetData>
    <row r="1" spans="1:6" ht="35" customHeight="1" x14ac:dyDescent="0.35">
      <c r="A1" s="3" t="s">
        <v>0</v>
      </c>
      <c r="B1" s="3" t="s">
        <v>134</v>
      </c>
      <c r="C1" s="3" t="s">
        <v>135</v>
      </c>
      <c r="D1" s="3" t="s">
        <v>136</v>
      </c>
      <c r="E1" s="3" t="s">
        <v>137</v>
      </c>
      <c r="F1" s="3" t="s">
        <v>138</v>
      </c>
    </row>
    <row r="2" spans="1:6" ht="30" customHeight="1" x14ac:dyDescent="0.35">
      <c r="A2" s="9" t="s">
        <v>25</v>
      </c>
      <c r="B2" s="10">
        <v>1</v>
      </c>
      <c r="C2" s="9" t="s">
        <v>42</v>
      </c>
      <c r="D2" s="11" t="s">
        <v>139</v>
      </c>
      <c r="E2" s="11" t="s">
        <v>140</v>
      </c>
      <c r="F2" s="10" t="s">
        <v>43</v>
      </c>
    </row>
    <row r="3" spans="1:6" ht="30" customHeight="1" x14ac:dyDescent="0.35">
      <c r="A3" s="9" t="s">
        <v>25</v>
      </c>
      <c r="B3" s="10">
        <v>2</v>
      </c>
      <c r="C3" s="9" t="s">
        <v>81</v>
      </c>
      <c r="D3" s="11" t="s">
        <v>141</v>
      </c>
      <c r="E3" s="11" t="s">
        <v>142</v>
      </c>
      <c r="F3" s="10" t="s">
        <v>143</v>
      </c>
    </row>
    <row r="4" spans="1:6" ht="30" customHeight="1" x14ac:dyDescent="0.35">
      <c r="A4" s="9" t="s">
        <v>25</v>
      </c>
      <c r="B4" s="10">
        <v>3</v>
      </c>
      <c r="C4" s="9" t="s">
        <v>130</v>
      </c>
      <c r="D4" s="11" t="s">
        <v>144</v>
      </c>
      <c r="E4" s="11" t="s">
        <v>145</v>
      </c>
      <c r="F4" s="10" t="s">
        <v>44</v>
      </c>
    </row>
    <row r="5" spans="1:6" ht="30" customHeight="1" x14ac:dyDescent="0.35">
      <c r="A5" s="9" t="s">
        <v>46</v>
      </c>
      <c r="B5" s="10">
        <v>1</v>
      </c>
      <c r="C5" s="9" t="s">
        <v>146</v>
      </c>
      <c r="D5" s="11" t="s">
        <v>147</v>
      </c>
      <c r="E5" s="11" t="s">
        <v>148</v>
      </c>
      <c r="F5" s="10" t="s">
        <v>56</v>
      </c>
    </row>
    <row r="6" spans="1:6" ht="30" customHeight="1" x14ac:dyDescent="0.35">
      <c r="A6" s="9" t="s">
        <v>46</v>
      </c>
      <c r="B6" s="10">
        <v>2</v>
      </c>
      <c r="C6" s="9" t="s">
        <v>118</v>
      </c>
      <c r="D6" s="11" t="s">
        <v>149</v>
      </c>
      <c r="E6" s="11" t="s">
        <v>150</v>
      </c>
      <c r="F6" s="10" t="s">
        <v>57</v>
      </c>
    </row>
    <row r="7" spans="1:6" ht="30" customHeight="1" x14ac:dyDescent="0.35">
      <c r="A7" s="9" t="s">
        <v>59</v>
      </c>
      <c r="B7" s="10">
        <v>1</v>
      </c>
      <c r="C7" s="9" t="s">
        <v>67</v>
      </c>
      <c r="D7" s="11" t="s">
        <v>151</v>
      </c>
      <c r="E7" s="11" t="s">
        <v>152</v>
      </c>
      <c r="F7" s="10" t="s">
        <v>68</v>
      </c>
    </row>
    <row r="8" spans="1:6" ht="30" customHeight="1" x14ac:dyDescent="0.35">
      <c r="A8" s="9" t="s">
        <v>70</v>
      </c>
      <c r="B8" s="10">
        <v>1</v>
      </c>
      <c r="C8" s="9" t="s">
        <v>81</v>
      </c>
      <c r="D8" s="11" t="s">
        <v>153</v>
      </c>
      <c r="E8" s="11" t="s">
        <v>154</v>
      </c>
      <c r="F8" s="10" t="s">
        <v>82</v>
      </c>
    </row>
    <row r="9" spans="1:6" ht="30" customHeight="1" x14ac:dyDescent="0.35">
      <c r="A9" s="9" t="s">
        <v>70</v>
      </c>
      <c r="B9" s="10">
        <v>2</v>
      </c>
      <c r="C9" s="9" t="s">
        <v>42</v>
      </c>
      <c r="D9" s="11" t="s">
        <v>155</v>
      </c>
      <c r="E9" s="11" t="s">
        <v>156</v>
      </c>
      <c r="F9" s="10" t="s">
        <v>157</v>
      </c>
    </row>
    <row r="10" spans="1:6" ht="30" customHeight="1" x14ac:dyDescent="0.35">
      <c r="A10" s="9" t="s">
        <v>84</v>
      </c>
      <c r="B10" s="10">
        <v>1</v>
      </c>
      <c r="C10" s="9" t="s">
        <v>42</v>
      </c>
      <c r="D10" s="11" t="s">
        <v>158</v>
      </c>
      <c r="E10" s="11" t="s">
        <v>159</v>
      </c>
      <c r="F10" s="10" t="s">
        <v>56</v>
      </c>
    </row>
    <row r="11" spans="1:6" ht="30" customHeight="1" x14ac:dyDescent="0.35">
      <c r="A11" s="9" t="s">
        <v>95</v>
      </c>
      <c r="B11" s="10">
        <v>1</v>
      </c>
      <c r="C11" s="9" t="s">
        <v>146</v>
      </c>
      <c r="D11" s="11" t="s">
        <v>160</v>
      </c>
      <c r="E11" s="11" t="s">
        <v>161</v>
      </c>
      <c r="F11" s="10" t="s">
        <v>106</v>
      </c>
    </row>
    <row r="12" spans="1:6" ht="30" customHeight="1" x14ac:dyDescent="0.35">
      <c r="A12" s="9" t="s">
        <v>95</v>
      </c>
      <c r="B12" s="10">
        <v>2</v>
      </c>
      <c r="C12" s="9" t="s">
        <v>81</v>
      </c>
      <c r="D12" s="11" t="s">
        <v>162</v>
      </c>
      <c r="E12" s="11" t="s">
        <v>163</v>
      </c>
      <c r="F12" s="10" t="s">
        <v>164</v>
      </c>
    </row>
    <row r="13" spans="1:6" ht="30" customHeight="1" x14ac:dyDescent="0.35">
      <c r="A13" s="9" t="s">
        <v>95</v>
      </c>
      <c r="B13" s="10">
        <v>3</v>
      </c>
      <c r="C13" s="9" t="s">
        <v>130</v>
      </c>
      <c r="D13" s="11" t="s">
        <v>165</v>
      </c>
      <c r="E13" s="11" t="s">
        <v>166</v>
      </c>
      <c r="F13" s="10" t="s">
        <v>107</v>
      </c>
    </row>
    <row r="14" spans="1:6" ht="30" customHeight="1" x14ac:dyDescent="0.35">
      <c r="A14" s="9" t="s">
        <v>95</v>
      </c>
      <c r="B14" s="10">
        <v>4</v>
      </c>
      <c r="C14" s="9" t="s">
        <v>67</v>
      </c>
      <c r="D14" s="11" t="s">
        <v>167</v>
      </c>
      <c r="E14" s="11" t="s">
        <v>168</v>
      </c>
      <c r="F14" s="10" t="s">
        <v>107</v>
      </c>
    </row>
    <row r="15" spans="1:6" ht="30" customHeight="1" x14ac:dyDescent="0.35">
      <c r="A15" s="9" t="s">
        <v>109</v>
      </c>
      <c r="B15" s="10">
        <v>1</v>
      </c>
      <c r="C15" s="9" t="s">
        <v>118</v>
      </c>
      <c r="D15" s="11" t="s">
        <v>169</v>
      </c>
      <c r="E15" s="11" t="s">
        <v>170</v>
      </c>
      <c r="F15" s="10" t="s">
        <v>44</v>
      </c>
    </row>
    <row r="16" spans="1:6" ht="30" customHeight="1" x14ac:dyDescent="0.35">
      <c r="A16" s="9" t="s">
        <v>109</v>
      </c>
      <c r="B16" s="10">
        <v>2</v>
      </c>
      <c r="C16" s="9" t="s">
        <v>67</v>
      </c>
      <c r="D16" s="20" t="s">
        <v>171</v>
      </c>
      <c r="E16" s="11" t="s">
        <v>172</v>
      </c>
      <c r="F16" s="10" t="s">
        <v>56</v>
      </c>
    </row>
    <row r="17" spans="1:6" ht="30" customHeight="1" x14ac:dyDescent="0.35">
      <c r="A17" s="9" t="s">
        <v>120</v>
      </c>
      <c r="B17" s="10">
        <v>1</v>
      </c>
      <c r="C17" s="9" t="s">
        <v>130</v>
      </c>
      <c r="D17" s="11" t="s">
        <v>173</v>
      </c>
      <c r="E17" s="11" t="s">
        <v>174</v>
      </c>
      <c r="F17" s="10" t="s">
        <v>131</v>
      </c>
    </row>
    <row r="18" spans="1:6" ht="30" customHeight="1" x14ac:dyDescent="0.35">
      <c r="A18" s="9" t="s">
        <v>120</v>
      </c>
      <c r="B18" s="10">
        <v>2</v>
      </c>
      <c r="C18" s="9" t="s">
        <v>81</v>
      </c>
      <c r="D18" s="11" t="s">
        <v>175</v>
      </c>
      <c r="E18" s="11" t="s">
        <v>176</v>
      </c>
      <c r="F18" s="10" t="s">
        <v>177</v>
      </c>
    </row>
    <row r="19" spans="1:6" ht="30" customHeight="1" x14ac:dyDescent="0.35">
      <c r="A19" s="9" t="s">
        <v>120</v>
      </c>
      <c r="B19" s="10">
        <v>3</v>
      </c>
      <c r="C19" s="9" t="s">
        <v>42</v>
      </c>
      <c r="D19" s="11" t="s">
        <v>178</v>
      </c>
      <c r="E19" s="11" t="s">
        <v>179</v>
      </c>
      <c r="F19" s="10" t="s">
        <v>180</v>
      </c>
    </row>
  </sheetData>
  <autoFilter ref="A1:F1" xr:uid="{00000000-0009-0000-0000-000001000000}"/>
  <hyperlinks>
    <hyperlink ref="D16" r:id="rId1" xr:uid="{4FFB0961-BC98-44C4-AA59-6C585AD387D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235A"/>
  </sheetPr>
  <dimension ref="A1:H28"/>
  <sheetViews>
    <sheetView zoomScale="90" zoomScaleNormal="90" workbookViewId="0">
      <selection activeCell="F22" sqref="F22"/>
    </sheetView>
  </sheetViews>
  <sheetFormatPr defaultRowHeight="14.5" x14ac:dyDescent="0.35"/>
  <cols>
    <col min="1" max="8" width="22" customWidth="1"/>
  </cols>
  <sheetData>
    <row r="1" spans="1:8" ht="40" customHeight="1" x14ac:dyDescent="0.35">
      <c r="A1" s="24" t="s">
        <v>181</v>
      </c>
      <c r="B1" s="22"/>
      <c r="C1" s="22"/>
      <c r="D1" s="22"/>
      <c r="E1" s="22"/>
      <c r="F1" s="22"/>
      <c r="G1" s="22"/>
      <c r="H1" s="22"/>
    </row>
    <row r="2" spans="1:8" x14ac:dyDescent="0.35">
      <c r="A2" s="21" t="s">
        <v>182</v>
      </c>
      <c r="B2" s="22"/>
      <c r="C2" s="22"/>
      <c r="D2" s="22"/>
      <c r="E2" s="22"/>
      <c r="F2" s="22"/>
      <c r="G2" s="22"/>
      <c r="H2" s="22"/>
    </row>
    <row r="4" spans="1:8" ht="40" customHeight="1" x14ac:dyDescent="0.7">
      <c r="B4" s="12" t="s">
        <v>183</v>
      </c>
      <c r="D4" s="12" t="s">
        <v>184</v>
      </c>
      <c r="F4" s="12" t="s">
        <v>185</v>
      </c>
      <c r="H4" s="12" t="s">
        <v>186</v>
      </c>
    </row>
    <row r="5" spans="1:8" x14ac:dyDescent="0.35">
      <c r="B5" s="13" t="s">
        <v>187</v>
      </c>
      <c r="D5" s="13" t="s">
        <v>188</v>
      </c>
      <c r="F5" s="13" t="s">
        <v>189</v>
      </c>
      <c r="H5" s="13" t="s">
        <v>190</v>
      </c>
    </row>
    <row r="7" spans="1:8" ht="35" customHeight="1" x14ac:dyDescent="0.6">
      <c r="B7" s="14" t="s">
        <v>191</v>
      </c>
    </row>
    <row r="8" spans="1:8" x14ac:dyDescent="0.35">
      <c r="B8" s="13" t="s">
        <v>192</v>
      </c>
    </row>
    <row r="10" spans="1:8" ht="18.5" x14ac:dyDescent="0.45">
      <c r="A10" s="23" t="s">
        <v>193</v>
      </c>
      <c r="B10" s="22"/>
      <c r="C10" s="22"/>
      <c r="D10" s="22"/>
    </row>
    <row r="11" spans="1:8" x14ac:dyDescent="0.35">
      <c r="A11" s="15" t="s">
        <v>194</v>
      </c>
      <c r="B11" s="15" t="s">
        <v>195</v>
      </c>
      <c r="C11" s="15" t="s">
        <v>196</v>
      </c>
    </row>
    <row r="12" spans="1:8" x14ac:dyDescent="0.35">
      <c r="A12" s="16" t="s">
        <v>40</v>
      </c>
      <c r="B12" s="10">
        <v>6</v>
      </c>
      <c r="C12" s="10" t="s">
        <v>186</v>
      </c>
    </row>
    <row r="13" spans="1:8" x14ac:dyDescent="0.35">
      <c r="A13" s="17" t="s">
        <v>80</v>
      </c>
      <c r="B13" s="10">
        <v>2</v>
      </c>
      <c r="C13" s="10" t="s">
        <v>197</v>
      </c>
    </row>
    <row r="15" spans="1:8" ht="18.5" x14ac:dyDescent="0.45">
      <c r="A15" s="23" t="s">
        <v>198</v>
      </c>
      <c r="B15" s="22"/>
      <c r="C15" s="22"/>
      <c r="D15" s="22"/>
    </row>
    <row r="16" spans="1:8" x14ac:dyDescent="0.35">
      <c r="A16" s="15" t="s">
        <v>199</v>
      </c>
      <c r="B16" s="15" t="s">
        <v>195</v>
      </c>
      <c r="C16" s="15" t="s">
        <v>196</v>
      </c>
    </row>
    <row r="17" spans="1:4" x14ac:dyDescent="0.35">
      <c r="A17" s="9" t="s">
        <v>41</v>
      </c>
      <c r="B17" s="10">
        <v>5</v>
      </c>
      <c r="C17" s="10" t="s">
        <v>200</v>
      </c>
    </row>
    <row r="18" spans="1:4" x14ac:dyDescent="0.35">
      <c r="A18" s="9" t="s">
        <v>93</v>
      </c>
      <c r="B18" s="10">
        <v>2</v>
      </c>
      <c r="C18" s="10" t="s">
        <v>197</v>
      </c>
    </row>
    <row r="19" spans="1:4" x14ac:dyDescent="0.35">
      <c r="A19" s="9" t="s">
        <v>66</v>
      </c>
      <c r="B19" s="10">
        <v>1</v>
      </c>
      <c r="C19" s="10" t="s">
        <v>201</v>
      </c>
    </row>
    <row r="21" spans="1:4" ht="18.5" x14ac:dyDescent="0.45">
      <c r="A21" s="23" t="s">
        <v>202</v>
      </c>
      <c r="B21" s="22"/>
      <c r="C21" s="22"/>
      <c r="D21" s="22"/>
    </row>
    <row r="22" spans="1:4" x14ac:dyDescent="0.35">
      <c r="A22" s="15" t="s">
        <v>203</v>
      </c>
      <c r="B22" s="15" t="s">
        <v>195</v>
      </c>
      <c r="C22" s="15" t="s">
        <v>196</v>
      </c>
    </row>
    <row r="23" spans="1:4" x14ac:dyDescent="0.35">
      <c r="A23" s="9" t="s">
        <v>42</v>
      </c>
      <c r="B23" s="10">
        <v>2</v>
      </c>
      <c r="C23" s="10" t="s">
        <v>197</v>
      </c>
    </row>
    <row r="24" spans="1:4" x14ac:dyDescent="0.35">
      <c r="A24" s="9" t="s">
        <v>55</v>
      </c>
      <c r="B24" s="10">
        <v>2</v>
      </c>
      <c r="C24" s="10" t="s">
        <v>197</v>
      </c>
    </row>
    <row r="25" spans="1:4" x14ac:dyDescent="0.35">
      <c r="A25" s="9" t="s">
        <v>67</v>
      </c>
      <c r="B25" s="10">
        <v>1</v>
      </c>
      <c r="C25" s="10" t="s">
        <v>201</v>
      </c>
    </row>
    <row r="26" spans="1:4" x14ac:dyDescent="0.35">
      <c r="A26" s="9" t="s">
        <v>81</v>
      </c>
      <c r="B26" s="10">
        <v>1</v>
      </c>
      <c r="C26" s="10" t="s">
        <v>201</v>
      </c>
    </row>
    <row r="27" spans="1:4" x14ac:dyDescent="0.35">
      <c r="A27" s="9" t="s">
        <v>118</v>
      </c>
      <c r="B27" s="10">
        <v>1</v>
      </c>
      <c r="C27" s="10" t="s">
        <v>201</v>
      </c>
    </row>
    <row r="28" spans="1:4" x14ac:dyDescent="0.35">
      <c r="A28" s="9" t="s">
        <v>130</v>
      </c>
      <c r="B28" s="10">
        <v>1</v>
      </c>
      <c r="C28" s="10" t="s">
        <v>201</v>
      </c>
    </row>
  </sheetData>
  <mergeCells count="5">
    <mergeCell ref="A2:H2"/>
    <mergeCell ref="A21:D21"/>
    <mergeCell ref="A15:D15"/>
    <mergeCell ref="A1:H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Eventos Capturados</vt:lpstr>
      <vt:lpstr>Evidências</vt:lpstr>
      <vt:lpstr>Resumo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Eduardo Crescencio</cp:lastModifiedBy>
  <dcterms:created xsi:type="dcterms:W3CDTF">2026-03-19T02:03:02Z</dcterms:created>
  <dcterms:modified xsi:type="dcterms:W3CDTF">2026-03-19T02:48:05Z</dcterms:modified>
</cp:coreProperties>
</file>